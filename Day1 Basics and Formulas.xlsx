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ILM University\1st Year\Unlox Internship\Excel\"/>
    </mc:Choice>
  </mc:AlternateContent>
  <xr:revisionPtr revIDLastSave="0" documentId="13_ncr:1_{064786B7-C226-4E53-9146-AE81C65B81B7}" xr6:coauthVersionLast="47" xr6:coauthVersionMax="47" xr10:uidLastSave="{00000000-0000-0000-0000-000000000000}"/>
  <bookViews>
    <workbookView xWindow="-110" yWindow="-110" windowWidth="19420" windowHeight="10300" xr2:uid="{77061CA8-AB5D-4334-A880-C360864ED7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4" i="1" l="1"/>
  <c r="G22" i="1"/>
  <c r="G23" i="1"/>
  <c r="I23" i="1"/>
  <c r="I24" i="1"/>
  <c r="I25" i="1"/>
  <c r="I26" i="1"/>
  <c r="I27" i="1"/>
  <c r="I22" i="1"/>
  <c r="H23" i="1"/>
  <c r="H24" i="1"/>
  <c r="H25" i="1"/>
  <c r="H26" i="1"/>
  <c r="H27" i="1"/>
  <c r="H22" i="1"/>
  <c r="G24" i="1"/>
  <c r="G25" i="1"/>
  <c r="G26" i="1"/>
  <c r="G27" i="1"/>
  <c r="F22" i="1" a="1"/>
  <c r="F22" i="1" s="1"/>
  <c r="Z4" i="1"/>
  <c r="Z5" i="1"/>
  <c r="Z6" i="1"/>
  <c r="Z7" i="1"/>
  <c r="Z3" i="1"/>
  <c r="Y8" i="1"/>
  <c r="X8" i="1"/>
  <c r="V12" i="1"/>
  <c r="V13" i="1"/>
  <c r="V14" i="1"/>
  <c r="V11" i="1"/>
  <c r="U11" i="1"/>
  <c r="U12" i="1"/>
  <c r="U13" i="1"/>
  <c r="U14" i="1"/>
  <c r="O11" i="1"/>
  <c r="N12" i="1"/>
  <c r="N13" i="1"/>
  <c r="N11" i="1"/>
  <c r="O7" i="1"/>
  <c r="D1" i="1" a="1"/>
  <c r="D1" i="1" s="1"/>
  <c r="O4" i="1"/>
  <c r="N7" i="1"/>
  <c r="N4" i="1"/>
  <c r="M7" i="1"/>
  <c r="M4" i="1"/>
  <c r="L7" i="1"/>
  <c r="L6" i="1"/>
  <c r="L5" i="1"/>
  <c r="L4" i="1"/>
  <c r="K7" i="1"/>
  <c r="K6" i="1"/>
  <c r="K5" i="1"/>
  <c r="K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<sst xmlns="http://schemas.openxmlformats.org/spreadsheetml/2006/main" count="144" uniqueCount="75">
  <si>
    <t>Monday</t>
  </si>
  <si>
    <t>Tuesday</t>
  </si>
  <si>
    <t>Wednesday</t>
  </si>
  <si>
    <t>Thursday</t>
  </si>
  <si>
    <t>Friday</t>
  </si>
  <si>
    <t>Saturday</t>
  </si>
  <si>
    <t>Sunday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</si>
  <si>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</si>
  <si>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</si>
  <si>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</si>
  <si>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</si>
  <si>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</si>
  <si>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</si>
  <si>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</si>
  <si>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</si>
  <si>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</si>
  <si>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</si>
  <si>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</si>
  <si>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</si>
  <si>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</t>
  </si>
  <si>
    <t>D</t>
  </si>
  <si>
    <t>E</t>
  </si>
  <si>
    <t>B</t>
  </si>
  <si>
    <t>C</t>
  </si>
  <si>
    <t>Unlox- Excel</t>
  </si>
  <si>
    <t xml:space="preserve">ID </t>
  </si>
  <si>
    <t xml:space="preserve">NAME </t>
  </si>
  <si>
    <t>DEPT</t>
  </si>
  <si>
    <t>SALARY</t>
  </si>
  <si>
    <t>F</t>
  </si>
  <si>
    <t>G</t>
  </si>
  <si>
    <t>H</t>
  </si>
  <si>
    <t>I</t>
  </si>
  <si>
    <t>J</t>
  </si>
  <si>
    <t>K</t>
  </si>
  <si>
    <t>M</t>
  </si>
  <si>
    <t>N</t>
  </si>
  <si>
    <t>O</t>
  </si>
  <si>
    <t>X1</t>
  </si>
  <si>
    <t>X2</t>
  </si>
  <si>
    <t>X3</t>
  </si>
  <si>
    <t>X4</t>
  </si>
  <si>
    <t>X15</t>
  </si>
  <si>
    <t>COLUMNS</t>
  </si>
  <si>
    <t>COUNT</t>
  </si>
  <si>
    <t>SUM</t>
  </si>
  <si>
    <t>AVG</t>
  </si>
  <si>
    <t>MIN</t>
  </si>
  <si>
    <t>MAX</t>
  </si>
  <si>
    <t>ID</t>
  </si>
  <si>
    <t>NAME</t>
  </si>
  <si>
    <t>BASE INCOME</t>
  </si>
  <si>
    <t>INCENTIVE</t>
  </si>
  <si>
    <t>TDS</t>
  </si>
  <si>
    <t>PF</t>
  </si>
  <si>
    <t>NET SALARY</t>
  </si>
  <si>
    <t>P</t>
  </si>
  <si>
    <t>p</t>
  </si>
  <si>
    <t>First Name</t>
  </si>
  <si>
    <t>Last Name</t>
  </si>
  <si>
    <t>Full Name</t>
  </si>
  <si>
    <t>Email</t>
  </si>
  <si>
    <t>kalash</t>
  </si>
  <si>
    <t>aman</t>
  </si>
  <si>
    <t>anuj</t>
  </si>
  <si>
    <t>zafar</t>
  </si>
  <si>
    <t>priya</t>
  </si>
  <si>
    <t>kumar</t>
  </si>
  <si>
    <t>mohd</t>
  </si>
  <si>
    <t>Marks</t>
  </si>
  <si>
    <t>(Sum of nos &gt;30)</t>
  </si>
  <si>
    <t>Dept</t>
  </si>
  <si>
    <t>MaxSal</t>
  </si>
  <si>
    <t>MinSal</t>
  </si>
  <si>
    <t>TotalSal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</si>
</sst>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2" borderId="1" xfId="0" applyFont="1" applyFill="1" applyBorder="1"/>
    <xf numFmtId="0" fontId="4" fillId="3" borderId="3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2" fillId="2" borderId="1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2" fillId="14" borderId="1" xfId="0" applyFont="1" applyFill="1" applyBorder="1"/>
    <xf numFmtId="0" fontId="1" fillId="15" borderId="1" xfId="0" applyFont="1" applyFill="1" applyBorder="1" applyAlignment="1">
      <alignment horizontal="center" vertical="center"/>
    </xf>
    <xf numFmtId="0" fontId="0" fillId="16" borderId="1" xfId="0" applyFill="1" applyBorder="1"/>
  </cellXfs>
  <cellStyles count="1">
    <cellStyle name="Normal" xfId="0" builtinId="0"/>
  </cellStyles>
  <dxfs count="15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FE4B4-47C1-4007-A14F-006F954B579D}">
  <dimension ref="A1:Z31"/>
  <sheetViews>
    <sheetView tabSelected="1" zoomScale="95" workbookViewId="0">
      <selection activeCell="M16" sqref="M16"/>
    </sheetView>
  </sheetViews>
  <sheetFormatPr defaultColWidth="8.26953125" defaultRowHeight="14.5" x14ac:dyDescent="0.35"/>
  <cols>
    <col min="1" max="1" width="8.26953125" style="1"/>
    <col min="2" max="2" width="10.6328125" style="1" bestFit="1" customWidth="1"/>
    <col min="3" max="3" width="8.54296875" style="1" customWidth="1"/>
    <col min="4" max="5" width="8.26953125" style="1"/>
    <col min="6" max="6" width="8.1796875" style="1" bestFit="1" customWidth="1"/>
    <col min="7" max="7" width="8.26953125" style="1"/>
    <col min="8" max="8" width="11" style="1" customWidth="1"/>
    <col min="9" max="9" width="8.26953125" style="1"/>
    <col min="10" max="10" width="12.453125" style="1" bestFit="1" customWidth="1"/>
    <col min="11" max="11" width="9.6328125" style="1" bestFit="1" customWidth="1"/>
    <col min="12" max="12" width="11.36328125" style="1" bestFit="1" customWidth="1"/>
    <col min="13" max="13" width="8.26953125" style="1"/>
    <col min="14" max="14" width="10.7265625" style="1" bestFit="1" customWidth="1"/>
    <col min="15" max="18" width="8.26953125" style="1"/>
    <col min="19" max="19" width="9.7265625" style="1" bestFit="1" customWidth="1"/>
    <col min="20" max="20" width="9.453125" style="1" bestFit="1" customWidth="1"/>
    <col min="21" max="21" width="11.36328125" style="1" bestFit="1" customWidth="1"/>
    <col min="22" max="22" width="22.08984375" style="1" bestFit="1" customWidth="1"/>
    <col min="23" max="23" width="14.90625" style="1" bestFit="1" customWidth="1"/>
    <col min="24" max="24" width="6" style="1" bestFit="1" customWidth="1"/>
    <col min="25" max="16384" width="8.26953125" style="1"/>
  </cols>
  <sheetData>
    <row r="1" spans="1:26" x14ac:dyDescent="0.35">
      <c r="A1" s="2">
        <v>1</v>
      </c>
      <c r="B1" s="2" t="s">
        <v>0</v>
      </c>
      <c r="C1" s="2" t="s">
        <v>7</v>
      </c>
      <c r="D1" s="1" t="str" cm="1">
        <f t="array" ref="D1:D31">UPPER(C1:C31)</f>
        <v>JAN</v>
      </c>
      <c r="F1" s="3" t="s">
        <v>24</v>
      </c>
      <c r="G1" s="4"/>
      <c r="H1" s="5"/>
    </row>
    <row r="2" spans="1:26" x14ac:dyDescent="0.35">
      <c r="A2" s="2">
        <v>2</v>
      </c>
      <c r="B2" s="2" t="s">
        <v>1</v>
      </c>
      <c r="C2" s="2" t="s">
        <v>8</v>
      </c>
      <c r="D2" s="1" t="str">
        <v>FEB</v>
      </c>
      <c r="J2" s="11"/>
      <c r="X2" s="17" t="s">
        <v>69</v>
      </c>
      <c r="Y2" s="18"/>
    </row>
    <row r="3" spans="1:26" ht="18.5" x14ac:dyDescent="0.45">
      <c r="A3" s="2">
        <v>3</v>
      </c>
      <c r="B3" s="2" t="s">
        <v>2</v>
      </c>
      <c r="C3" s="2" t="s">
        <v>9</v>
      </c>
      <c r="D3" s="1" t="str">
        <v>MAR</v>
      </c>
      <c r="E3" s="6" t="s">
        <v>25</v>
      </c>
      <c r="F3" s="6" t="s">
        <v>26</v>
      </c>
      <c r="G3" s="6" t="s">
        <v>27</v>
      </c>
      <c r="H3" s="6" t="s">
        <v>28</v>
      </c>
      <c r="J3" s="10" t="s">
        <v>43</v>
      </c>
      <c r="K3" s="10" t="s">
        <v>44</v>
      </c>
      <c r="L3" s="10" t="s">
        <v>45</v>
      </c>
      <c r="M3" s="10" t="s">
        <v>46</v>
      </c>
      <c r="N3" s="10" t="s">
        <v>47</v>
      </c>
      <c r="O3" s="10" t="s">
        <v>48</v>
      </c>
      <c r="Q3" s="1" t="s">
        <v>19</v>
      </c>
      <c r="X3" s="16">
        <v>98</v>
      </c>
      <c r="Y3" s="16">
        <v>78</v>
      </c>
      <c r="Z3" s="1" t="str">
        <f>IF(SUM(X3:Y3)&gt;150, "Excellent", "Good")</f>
        <v>Excellent</v>
      </c>
    </row>
    <row r="4" spans="1:26" x14ac:dyDescent="0.35">
      <c r="A4" s="2">
        <v>4</v>
      </c>
      <c r="B4" s="2" t="s">
        <v>3</v>
      </c>
      <c r="C4" s="2" t="s">
        <v>10</v>
      </c>
      <c r="D4" s="1" t="str">
        <v>APR</v>
      </c>
      <c r="E4" s="7">
        <v>1</v>
      </c>
      <c r="F4" s="7" t="s">
        <v>19</v>
      </c>
      <c r="G4" s="7" t="s">
        <v>38</v>
      </c>
      <c r="H4" s="8">
        <v>26000</v>
      </c>
      <c r="J4" s="9" t="s">
        <v>49</v>
      </c>
      <c r="K4" s="9">
        <f>COUNT(E4:E18)</f>
        <v>14</v>
      </c>
      <c r="L4" s="9">
        <f>SUM(E4:E18)</f>
        <v>111</v>
      </c>
      <c r="M4" s="9">
        <f>AVERAGE(E4:E18)</f>
        <v>7.9285714285714288</v>
      </c>
      <c r="N4" s="9">
        <f>MIN(E4:E18)</f>
        <v>1</v>
      </c>
      <c r="O4" s="9">
        <f>MAX(E4:E18)</f>
        <v>15</v>
      </c>
      <c r="Q4" s="1" t="s">
        <v>19</v>
      </c>
      <c r="X4" s="16">
        <v>99</v>
      </c>
      <c r="Y4" s="16">
        <v>90</v>
      </c>
      <c r="Z4" s="1" t="str">
        <f t="shared" ref="Z4:Z7" si="0">IF(SUM(X4:Y4)&gt;150, "Excellent", "Good")</f>
        <v>Excellent</v>
      </c>
    </row>
    <row r="5" spans="1:26" x14ac:dyDescent="0.35">
      <c r="A5" s="2">
        <v>5</v>
      </c>
      <c r="B5" s="2" t="s">
        <v>4</v>
      </c>
      <c r="C5" s="2" t="s">
        <v>11</v>
      </c>
      <c r="D5" s="1" t="str">
        <v>MAY</v>
      </c>
      <c r="E5" s="7">
        <v>2</v>
      </c>
      <c r="F5" s="7" t="s">
        <v>22</v>
      </c>
      <c r="G5" s="7" t="s">
        <v>39</v>
      </c>
      <c r="H5" s="8">
        <v>2000</v>
      </c>
      <c r="J5" s="9" t="s">
        <v>50</v>
      </c>
      <c r="K5" s="9">
        <f>COUNT(F4:F18)</f>
        <v>0</v>
      </c>
      <c r="L5" s="9">
        <f>SUM(F4:F18)</f>
        <v>0</v>
      </c>
      <c r="M5" s="9">
        <v>0</v>
      </c>
      <c r="N5" s="9"/>
      <c r="O5" s="9"/>
      <c r="Q5" s="1" t="s">
        <v>57</v>
      </c>
      <c r="X5" s="16">
        <v>56</v>
      </c>
      <c r="Y5" s="16">
        <v>80</v>
      </c>
      <c r="Z5" s="1" t="str">
        <f t="shared" si="0"/>
        <v>Good</v>
      </c>
    </row>
    <row r="6" spans="1:26" x14ac:dyDescent="0.35">
      <c r="A6" s="2">
        <v>6</v>
      </c>
      <c r="B6" s="2" t="s">
        <v>5</v>
      </c>
      <c r="C6" s="2" t="s">
        <v>12</v>
      </c>
      <c r="D6" s="1" t="str">
        <v>JUN</v>
      </c>
      <c r="E6" s="7">
        <v>3</v>
      </c>
      <c r="F6" s="7" t="s">
        <v>23</v>
      </c>
      <c r="G6" s="7" t="s">
        <v>40</v>
      </c>
      <c r="H6" s="8">
        <v>71000</v>
      </c>
      <c r="J6" s="9" t="s">
        <v>27</v>
      </c>
      <c r="K6" s="9">
        <f>COUNT(G4:G18)</f>
        <v>0</v>
      </c>
      <c r="L6" s="9">
        <f>SUM(G4:G18)</f>
        <v>0</v>
      </c>
      <c r="M6" s="9">
        <v>0</v>
      </c>
      <c r="N6" s="9"/>
      <c r="O6" s="9"/>
      <c r="Q6" s="1" t="s">
        <v>56</v>
      </c>
      <c r="X6" s="16">
        <v>34</v>
      </c>
      <c r="Y6" s="16">
        <v>90</v>
      </c>
      <c r="Z6" s="1" t="str">
        <f t="shared" si="0"/>
        <v>Good</v>
      </c>
    </row>
    <row r="7" spans="1:26" x14ac:dyDescent="0.35">
      <c r="A7" s="2">
        <v>7</v>
      </c>
      <c r="B7" s="2" t="s">
        <v>6</v>
      </c>
      <c r="C7" s="2" t="s">
        <v>13</v>
      </c>
      <c r="D7" s="1" t="str">
        <v>JUL</v>
      </c>
      <c r="E7" s="7">
        <v>4</v>
      </c>
      <c r="F7" s="7" t="s">
        <v>20</v>
      </c>
      <c r="G7" s="7" t="s">
        <v>41</v>
      </c>
      <c r="H7" s="8">
        <v>8000</v>
      </c>
      <c r="J7" s="9" t="s">
        <v>28</v>
      </c>
      <c r="K7" s="9">
        <f>COUNT(H4:H18)</f>
        <v>12</v>
      </c>
      <c r="L7" s="9">
        <f>SUM(H4:H17)</f>
        <v>325000</v>
      </c>
      <c r="M7" s="9">
        <f>AVERAGE(H4:H17)</f>
        <v>27083.333333333332</v>
      </c>
      <c r="N7" s="9">
        <f>MIN(H4:H17)</f>
        <v>2000</v>
      </c>
      <c r="O7" s="9">
        <f>MAX(H4:H20)</f>
        <v>71000</v>
      </c>
      <c r="Q7" s="1" t="s">
        <v>19</v>
      </c>
      <c r="X7" s="16">
        <v>78</v>
      </c>
      <c r="Y7" s="16">
        <v>67</v>
      </c>
      <c r="Z7" s="1" t="str">
        <f t="shared" si="0"/>
        <v>Good</v>
      </c>
    </row>
    <row r="8" spans="1:26" x14ac:dyDescent="0.35">
      <c r="A8" s="2">
        <v>8</v>
      </c>
      <c r="B8" s="2" t="s">
        <v>0</v>
      </c>
      <c r="C8" s="2" t="s">
        <v>14</v>
      </c>
      <c r="D8" s="1" t="str">
        <v>AUG</v>
      </c>
      <c r="E8" s="7">
        <v>5</v>
      </c>
      <c r="F8" s="7" t="s">
        <v>21</v>
      </c>
      <c r="G8" s="7"/>
      <c r="H8" s="8">
        <v>10000</v>
      </c>
      <c r="Q8" s="1" t="s">
        <v>56</v>
      </c>
      <c r="W8" s="15" t="s">
        <v>70</v>
      </c>
      <c r="X8" s="15">
        <f>SUMIF(X3:X7, "&gt;30")</f>
        <v>365</v>
      </c>
      <c r="Y8" s="15">
        <f>SUMIF(Y3:Y7, "&gt;30")</f>
        <v>405</v>
      </c>
    </row>
    <row r="9" spans="1:26" x14ac:dyDescent="0.35">
      <c r="A9" s="2">
        <v>9</v>
      </c>
      <c r="B9" s="2" t="s">
        <v>1</v>
      </c>
      <c r="C9" s="2" t="s">
        <v>15</v>
      </c>
      <c r="D9" s="1" t="str">
        <v>SEP</v>
      </c>
      <c r="E9" s="7">
        <v>6</v>
      </c>
      <c r="F9" s="7" t="s">
        <v>29</v>
      </c>
      <c r="G9" s="7" t="s">
        <v>40</v>
      </c>
      <c r="H9" s="8">
        <v>6000</v>
      </c>
      <c r="Q9" s="1" t="s">
        <v>56</v>
      </c>
    </row>
    <row r="10" spans="1:26" x14ac:dyDescent="0.35">
      <c r="A10" s="2">
        <v>10</v>
      </c>
      <c r="B10" s="2" t="s">
        <v>2</v>
      </c>
      <c r="C10" s="2" t="s">
        <v>16</v>
      </c>
      <c r="D10" s="1" t="str">
        <v>OCT</v>
      </c>
      <c r="E10" s="7">
        <v>7</v>
      </c>
      <c r="F10" s="7" t="s">
        <v>30</v>
      </c>
      <c r="G10" s="7" t="s">
        <v>39</v>
      </c>
      <c r="H10" s="8">
        <v>7000</v>
      </c>
      <c r="J10" s="13" t="s">
        <v>51</v>
      </c>
      <c r="K10" s="13" t="s">
        <v>52</v>
      </c>
      <c r="L10" s="13" t="s">
        <v>53</v>
      </c>
      <c r="M10" s="13" t="s">
        <v>54</v>
      </c>
      <c r="N10" s="13" t="s">
        <v>55</v>
      </c>
      <c r="Q10" s="1" t="s">
        <v>56</v>
      </c>
      <c r="S10" s="15" t="s">
        <v>58</v>
      </c>
      <c r="T10" s="15" t="s">
        <v>59</v>
      </c>
      <c r="U10" s="15" t="s">
        <v>60</v>
      </c>
      <c r="V10" s="15" t="s">
        <v>61</v>
      </c>
    </row>
    <row r="11" spans="1:26" x14ac:dyDescent="0.35">
      <c r="A11" s="2">
        <v>11</v>
      </c>
      <c r="B11" s="2" t="s">
        <v>3</v>
      </c>
      <c r="C11" s="2" t="s">
        <v>17</v>
      </c>
      <c r="D11" s="1" t="str">
        <v>NOV</v>
      </c>
      <c r="E11" s="7">
        <v>8</v>
      </c>
      <c r="F11" s="7" t="s">
        <v>31</v>
      </c>
      <c r="G11" s="7" t="s">
        <v>38</v>
      </c>
      <c r="H11" s="8">
        <v>61000</v>
      </c>
      <c r="J11" s="12">
        <v>25000</v>
      </c>
      <c r="K11" s="12">
        <v>1200</v>
      </c>
      <c r="L11" s="12">
        <v>1000</v>
      </c>
      <c r="M11" s="12">
        <v>3000</v>
      </c>
      <c r="N11" s="12">
        <f>SUM(J11:K11)-L11-M11</f>
        <v>22200</v>
      </c>
      <c r="O11" s="1">
        <f>SUM(J11:K11)-SUM(L11:M11)</f>
        <v>22200</v>
      </c>
      <c r="Q11" s="1" t="s">
        <v>19</v>
      </c>
      <c r="S11" s="14" t="s">
        <v>62</v>
      </c>
      <c r="T11" s="14" t="s">
        <v>66</v>
      </c>
      <c r="U11" s="14" t="str">
        <f t="shared" ref="U11:U14" si="1">CONCATENATE(S11, " ",T11)</f>
        <v>kalash priya</v>
      </c>
      <c r="V11" s="14" t="str">
        <f>CONCATENATE(S11,".",T11,"@gmail.com")</f>
        <v>kalash.priya@gmail.com</v>
      </c>
    </row>
    <row r="12" spans="1:26" x14ac:dyDescent="0.35">
      <c r="A12" s="2">
        <v>12</v>
      </c>
      <c r="B12" s="2" t="s">
        <v>4</v>
      </c>
      <c r="C12" s="2" t="s">
        <v>18</v>
      </c>
      <c r="D12" s="1" t="str">
        <v>DEC</v>
      </c>
      <c r="E12" s="7"/>
      <c r="F12" s="7" t="s">
        <v>32</v>
      </c>
      <c r="G12" s="7"/>
      <c r="H12" s="8"/>
      <c r="J12" s="12">
        <v>40000</v>
      </c>
      <c r="K12" s="12">
        <v>100</v>
      </c>
      <c r="L12" s="12">
        <v>1000</v>
      </c>
      <c r="M12" s="12">
        <v>3000</v>
      </c>
      <c r="N12" s="12">
        <f t="shared" ref="N12:N13" si="2">SUM(J12:K12)-L12-M12</f>
        <v>36100</v>
      </c>
      <c r="Q12" s="1" t="s">
        <v>56</v>
      </c>
      <c r="S12" s="14" t="s">
        <v>63</v>
      </c>
      <c r="T12" s="14" t="s">
        <v>67</v>
      </c>
      <c r="U12" s="14" t="str">
        <f t="shared" si="1"/>
        <v>aman kumar</v>
      </c>
      <c r="V12" s="14" t="str">
        <f t="shared" ref="V12:V14" si="3">CONCATENATE(S12,".",T12,"@gmail.com")</f>
        <v>aman.kumar@gmail.com</v>
      </c>
    </row>
    <row r="13" spans="1:26" x14ac:dyDescent="0.35">
      <c r="A13" s="2">
        <v>13</v>
      </c>
      <c r="B13" s="2" t="s">
        <v>5</v>
      </c>
      <c r="C13" s="2" t="s">
        <v>7</v>
      </c>
      <c r="D13" s="1" t="str">
        <v>JAN</v>
      </c>
      <c r="E13" s="7">
        <v>10</v>
      </c>
      <c r="F13" s="7" t="s">
        <v>33</v>
      </c>
      <c r="G13" s="7" t="s">
        <v>38</v>
      </c>
      <c r="H13" s="8">
        <v>66000</v>
      </c>
      <c r="J13" s="12">
        <v>80000</v>
      </c>
      <c r="K13" s="12">
        <v>340</v>
      </c>
      <c r="L13" s="12">
        <v>1000</v>
      </c>
      <c r="M13" s="12">
        <v>3000</v>
      </c>
      <c r="N13" s="12">
        <f t="shared" si="2"/>
        <v>76340</v>
      </c>
      <c r="Q13" s="1" t="s">
        <v>56</v>
      </c>
      <c r="S13" s="14" t="s">
        <v>64</v>
      </c>
      <c r="T13" s="14" t="s">
        <v>67</v>
      </c>
      <c r="U13" s="14" t="str">
        <f t="shared" si="1"/>
        <v>anuj kumar</v>
      </c>
      <c r="V13" s="14" t="str">
        <f t="shared" si="3"/>
        <v>anuj.kumar@gmail.com</v>
      </c>
    </row>
    <row r="14" spans="1:26" x14ac:dyDescent="0.35">
      <c r="A14" s="2">
        <v>14</v>
      </c>
      <c r="B14" s="2" t="s">
        <v>6</v>
      </c>
      <c r="C14" s="2" t="s">
        <v>8</v>
      </c>
      <c r="D14" s="1" t="str">
        <v>FEB</v>
      </c>
      <c r="E14" s="7">
        <v>11</v>
      </c>
      <c r="F14" s="7" t="s">
        <v>34</v>
      </c>
      <c r="G14" s="7" t="s">
        <v>38</v>
      </c>
      <c r="H14" s="8"/>
      <c r="Q14" s="1" t="s">
        <v>56</v>
      </c>
      <c r="S14" s="14" t="s">
        <v>65</v>
      </c>
      <c r="T14" s="14" t="s">
        <v>68</v>
      </c>
      <c r="U14" s="14" t="str">
        <f t="shared" si="1"/>
        <v>zafar mohd</v>
      </c>
      <c r="V14" s="14" t="str">
        <f t="shared" si="3"/>
        <v>zafar.mohd@gmail.com</v>
      </c>
    </row>
    <row r="15" spans="1:26" x14ac:dyDescent="0.35">
      <c r="A15" s="2">
        <v>15</v>
      </c>
      <c r="B15" s="2" t="s">
        <v>0</v>
      </c>
      <c r="C15" s="2" t="s">
        <v>9</v>
      </c>
      <c r="D15" s="1" t="str">
        <v>MAR</v>
      </c>
      <c r="E15" s="7">
        <v>12</v>
      </c>
      <c r="F15" s="7"/>
      <c r="G15" s="7" t="s">
        <v>39</v>
      </c>
      <c r="H15" s="8">
        <v>6000</v>
      </c>
      <c r="Q15" s="1" t="s">
        <v>19</v>
      </c>
    </row>
    <row r="16" spans="1:26" x14ac:dyDescent="0.35">
      <c r="A16" s="2">
        <v>16</v>
      </c>
      <c r="B16" s="2" t="s">
        <v>1</v>
      </c>
      <c r="C16" s="2" t="s">
        <v>10</v>
      </c>
      <c r="D16" s="1" t="str">
        <v>APR</v>
      </c>
      <c r="E16" s="7">
        <v>13</v>
      </c>
      <c r="F16" s="7" t="s">
        <v>35</v>
      </c>
      <c r="G16" s="7" t="s">
        <v>40</v>
      </c>
      <c r="H16" s="8">
        <v>6000</v>
      </c>
      <c r="Q16" s="1" t="s">
        <v>56</v>
      </c>
    </row>
    <row r="17" spans="1:12" x14ac:dyDescent="0.35">
      <c r="A17" s="2">
        <v>17</v>
      </c>
      <c r="B17" s="2" t="s">
        <v>2</v>
      </c>
      <c r="C17" s="2" t="s">
        <v>11</v>
      </c>
      <c r="D17" s="1" t="str">
        <v>MAY</v>
      </c>
      <c r="E17" s="7">
        <v>14</v>
      </c>
      <c r="F17" s="7" t="s">
        <v>36</v>
      </c>
      <c r="G17" s="7" t="s">
        <v>38</v>
      </c>
      <c r="H17" s="8">
        <v>56000</v>
      </c>
    </row>
    <row r="18" spans="1:12" x14ac:dyDescent="0.35">
      <c r="A18" s="2">
        <v>18</v>
      </c>
      <c r="B18" s="2" t="s">
        <v>3</v>
      </c>
      <c r="C18" s="2" t="s">
        <v>12</v>
      </c>
      <c r="D18" s="1" t="str">
        <v>JUN</v>
      </c>
      <c r="E18" s="7">
        <v>15</v>
      </c>
      <c r="F18" s="7" t="s">
        <v>37</v>
      </c>
      <c r="G18" s="7" t="s">
        <v>42</v>
      </c>
      <c r="H18" s="8"/>
    </row>
    <row r="19" spans="1:12" x14ac:dyDescent="0.35">
      <c r="A19" s="2">
        <v>19</v>
      </c>
      <c r="B19" s="2" t="s">
        <v>4</v>
      </c>
      <c r="C19" s="2" t="s">
        <v>13</v>
      </c>
      <c r="D19" s="1" t="str">
        <v>JUL</v>
      </c>
    </row>
    <row r="20" spans="1:12" x14ac:dyDescent="0.35">
      <c r="A20" s="2">
        <v>20</v>
      </c>
      <c r="B20" s="2" t="s">
        <v>5</v>
      </c>
      <c r="C20" s="2" t="s">
        <v>14</v>
      </c>
      <c r="D20" s="1" t="str">
        <v>AUG</v>
      </c>
    </row>
    <row r="21" spans="1:12" x14ac:dyDescent="0.35">
      <c r="A21" s="2">
        <v>21</v>
      </c>
      <c r="B21" s="2" t="s">
        <v>6</v>
      </c>
      <c r="C21" s="2" t="s">
        <v>15</v>
      </c>
      <c r="D21" s="1" t="str">
        <v>SEP</v>
      </c>
      <c r="F21" s="20" t="s">
        <v>71</v>
      </c>
      <c r="G21" s="20" t="s">
        <v>74</v>
      </c>
      <c r="H21" s="20" t="s">
        <v>73</v>
      </c>
      <c r="I21" s="20" t="s">
        <v>72</v>
      </c>
    </row>
    <row r="22" spans="1:12" x14ac:dyDescent="0.35">
      <c r="A22" s="2">
        <v>22</v>
      </c>
      <c r="B22" s="2" t="s">
        <v>0</v>
      </c>
      <c r="C22" s="2" t="s">
        <v>16</v>
      </c>
      <c r="D22" s="1" t="str">
        <v>OCT</v>
      </c>
      <c r="F22" s="19" t="str" cm="1">
        <f t="array" ref="F22:F27">_xlfn.UNIQUE(G4:G18)</f>
        <v>X1</v>
      </c>
      <c r="G22" s="19">
        <f>SUMIF($G$4:$G$18,F22,$H$4:$H$18)</f>
        <v>209000</v>
      </c>
      <c r="H22" s="19">
        <f>_xlfn.MINIFS($H$4:$H$18,$G$4:$G$18,F22)</f>
        <v>26000</v>
      </c>
      <c r="I22" s="19">
        <f>_xlfn.MAXIFS($H$4:$H$18,$G$4:$G$18,F22)</f>
        <v>66000</v>
      </c>
    </row>
    <row r="23" spans="1:12" x14ac:dyDescent="0.35">
      <c r="A23" s="2">
        <v>23</v>
      </c>
      <c r="B23" s="2" t="s">
        <v>1</v>
      </c>
      <c r="C23" s="2" t="s">
        <v>17</v>
      </c>
      <c r="D23" s="1" t="str">
        <v>NOV</v>
      </c>
      <c r="F23" s="19" t="str">
        <v>X2</v>
      </c>
      <c r="G23" s="19">
        <f>SUMIF($G$4:$G$18,F23,$H$4:$H$18)</f>
        <v>15000</v>
      </c>
      <c r="H23" s="19">
        <f t="shared" ref="H23:H27" si="4">_xlfn.MINIFS($H$4:$H$18,$G$4:$G$18,F23)</f>
        <v>2000</v>
      </c>
      <c r="I23" s="19">
        <f t="shared" ref="I23:I27" si="5">_xlfn.MAXIFS($H$4:$H$18,$G$4:$G$18,F23)</f>
        <v>7000</v>
      </c>
      <c r="K23" s="9" t="s">
        <v>71</v>
      </c>
      <c r="L23" s="9" t="s">
        <v>74</v>
      </c>
    </row>
    <row r="24" spans="1:12" x14ac:dyDescent="0.35">
      <c r="A24" s="2">
        <v>24</v>
      </c>
      <c r="B24" s="2" t="s">
        <v>2</v>
      </c>
      <c r="C24" s="2" t="s">
        <v>18</v>
      </c>
      <c r="D24" s="1" t="str">
        <v>DEC</v>
      </c>
      <c r="F24" s="19" t="str">
        <v>X3</v>
      </c>
      <c r="G24" s="19">
        <f t="shared" ref="G23:G27" si="6">SUMIF($G$4:$G$18,F24,$H$4:$H$18)</f>
        <v>83000</v>
      </c>
      <c r="H24" s="19">
        <f t="shared" si="4"/>
        <v>6000</v>
      </c>
      <c r="I24" s="19">
        <f t="shared" si="5"/>
        <v>71000</v>
      </c>
      <c r="K24" s="21" t="s">
        <v>38</v>
      </c>
      <c r="L24" s="21">
        <f>SUMIF($G$4:$G$18,K24,$H$4:$H$18)</f>
        <v>209000</v>
      </c>
    </row>
    <row r="25" spans="1:12" x14ac:dyDescent="0.35">
      <c r="A25" s="2">
        <v>25</v>
      </c>
      <c r="B25" s="2" t="s">
        <v>3</v>
      </c>
      <c r="C25" s="2" t="s">
        <v>7</v>
      </c>
      <c r="D25" s="1" t="str">
        <v>JAN</v>
      </c>
      <c r="F25" s="19" t="str">
        <v>X4</v>
      </c>
      <c r="G25" s="19">
        <f t="shared" si="6"/>
        <v>8000</v>
      </c>
      <c r="H25" s="19">
        <f t="shared" si="4"/>
        <v>8000</v>
      </c>
      <c r="I25" s="19">
        <f t="shared" si="5"/>
        <v>8000</v>
      </c>
    </row>
    <row r="26" spans="1:12" x14ac:dyDescent="0.35">
      <c r="A26" s="2">
        <v>26</v>
      </c>
      <c r="B26" s="2" t="s">
        <v>4</v>
      </c>
      <c r="C26" s="2" t="s">
        <v>8</v>
      </c>
      <c r="D26" s="1" t="str">
        <v>FEB</v>
      </c>
      <c r="F26" s="19">
        <v>0</v>
      </c>
      <c r="G26" s="19">
        <f t="shared" si="6"/>
        <v>0</v>
      </c>
      <c r="H26" s="19">
        <f t="shared" si="4"/>
        <v>0</v>
      </c>
      <c r="I26" s="19">
        <f t="shared" si="5"/>
        <v>0</v>
      </c>
    </row>
    <row r="27" spans="1:12" x14ac:dyDescent="0.35">
      <c r="A27" s="2">
        <v>27</v>
      </c>
      <c r="B27" s="2" t="s">
        <v>5</v>
      </c>
      <c r="C27" s="2" t="s">
        <v>9</v>
      </c>
      <c r="D27" s="1" t="str">
        <v>MAR</v>
      </c>
      <c r="F27" s="19" t="str">
        <v>X15</v>
      </c>
      <c r="G27" s="19">
        <f t="shared" si="6"/>
        <v>0</v>
      </c>
      <c r="H27" s="19">
        <f t="shared" si="4"/>
        <v>0</v>
      </c>
      <c r="I27" s="19">
        <f t="shared" si="5"/>
        <v>0</v>
      </c>
    </row>
    <row r="28" spans="1:12" x14ac:dyDescent="0.35">
      <c r="A28" s="2">
        <v>28</v>
      </c>
      <c r="B28" s="2" t="s">
        <v>6</v>
      </c>
      <c r="C28" s="2" t="s">
        <v>10</v>
      </c>
      <c r="D28" s="1" t="str">
        <v>APR</v>
      </c>
    </row>
    <row r="29" spans="1:12" x14ac:dyDescent="0.35">
      <c r="A29" s="2">
        <v>29</v>
      </c>
      <c r="B29" s="2" t="s">
        <v>0</v>
      </c>
      <c r="C29" s="2" t="s">
        <v>11</v>
      </c>
      <c r="D29" s="1" t="str">
        <v>MAY</v>
      </c>
    </row>
    <row r="30" spans="1:12" x14ac:dyDescent="0.35">
      <c r="A30" s="2">
        <v>30</v>
      </c>
      <c r="B30" s="2" t="s">
        <v>1</v>
      </c>
      <c r="C30" s="2" t="s">
        <v>12</v>
      </c>
      <c r="D30" s="1" t="str">
        <v>JUN</v>
      </c>
    </row>
    <row r="31" spans="1:12" x14ac:dyDescent="0.35">
      <c r="A31" s="2">
        <v>31</v>
      </c>
      <c r="B31" s="2" t="s">
        <v>2</v>
      </c>
      <c r="C31" s="2" t="s">
        <v>13</v>
      </c>
      <c r="D31" s="1" t="str">
        <v>JUL</v>
      </c>
    </row>
  </sheetData>
  <mergeCells count="2">
    <mergeCell ref="F1:H1"/>
    <mergeCell ref="X2:Y2"/>
  </mergeCells>
  <phoneticPr fontId="3" type="noConversion"/>
  <conditionalFormatting sqref="N10:N13">
    <cfRule type="cellIs" dxfId="10" priority="7" operator="greaterThan">
      <formula>50000</formula>
    </cfRule>
  </conditionalFormatting>
  <conditionalFormatting sqref="D1:D1048576">
    <cfRule type="cellIs" dxfId="9" priority="6" operator="equal">
      <formula>"A,a"</formula>
    </cfRule>
  </conditionalFormatting>
  <conditionalFormatting sqref="Q3:Q16">
    <cfRule type="containsText" dxfId="8" priority="3" operator="containsText" text="P">
      <formula>NOT(ISERROR(SEARCH("P",Q3)))</formula>
    </cfRule>
    <cfRule type="containsText" dxfId="7" priority="4" operator="containsText" text="A">
      <formula>NOT(ISERROR(SEARCH("A",Q3)))</formula>
    </cfRule>
  </conditionalFormatting>
  <dataValidations count="1">
    <dataValidation type="list" allowBlank="1" showInputMessage="1" showErrorMessage="1" sqref="K24" xr:uid="{3C48975D-8F04-4A41-B052-6BB300EAF40A}">
      <formula1>$F$22:$F$27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396F9979-3226-41F3-ABEC-F00019730D5C}">
            <xm:f>NOT(ISERROR(SEARCH($Z$3,Z3)))</xm:f>
            <xm:f>$Z$3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" operator="containsText" id="{18575A7D-E25C-495C-A099-0183F64DB898}">
            <xm:f>NOT(ISERROR(SEARCH($Z$6,Z3)))</xm:f>
            <xm:f>$Z$6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Z3:Z7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Kalash Priya</dc:creator>
  <cp:lastModifiedBy>Kalash Priya</cp:lastModifiedBy>
  <dcterms:created xsi:type="dcterms:W3CDTF">2026-03-21T06:57:16Z</dcterms:created>
  <dcterms:modified xsi:type="dcterms:W3CDTF">2026-03-21T10:54:45Z</dcterms:modified>
</cp:coreProperties>
</file>